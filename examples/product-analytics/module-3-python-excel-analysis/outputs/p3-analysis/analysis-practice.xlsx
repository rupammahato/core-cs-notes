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b8bd12365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e0de7929e84641aa"/>
    <x:sheet xmlns:r="http://schemas.openxmlformats.org/officeDocument/2006/relationships" name="Sources" sheetId="2" r:id="R0c44aec93993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@"/>
    <x:numFmt numFmtId="202" formatCode="0000"/>
    <x:numFmt numFmtId="203" formatCode="yyyy-mm-dd hh:mm"/>
    <x:numFmt numFmtId="204" formatCode="#,##0"/>
    <x:numFmt numFmtId="205" formatCode="0.0%"/>
  </x:numFmts>
  <x:fonts count="5">
    <x:font>
      <x:sz val="11"/>
      <x:name val="Carlito"/>
    </x:font>
    <x:font>
      <x:sz val="10"/>
      <x:color rgb="FF253245"/>
      <x:name val="Arial"/>
    </x:font>
    <x:font>
      <x:b/>
      <x:sz val="14"/>
      <x:color rgb="FF162D50"/>
      <x:name val="Arial"/>
    </x:font>
    <x:font>
      <x:b/>
      <x:sz val="10"/>
      <x:color rgb="FF253245"/>
      <x:name val="Arial"/>
    </x:font>
    <x:font>
      <x:b/>
      <x:sz val="10"/>
      <x:color rgb="FF203A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C"/>
      </x:patternFill>
    </x:fill>
    <x:fill>
      <x:patternFill patternType="solid">
        <x:fgColor rgb="FFE6EB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horizontal="right"/>
    </x:xf>
    <x:xf numFmtId="205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3">
    <x:dxf>
      <x:font>
        <x:color rgb="FF8C4A00"/>
      </x:font>
      <x:fill>
        <x:patternFill patternType="solid">
          <x:bgColor rgb="FFFFF0D9"/>
        </x:patternFill>
      </x:fill>
    </x:dxf>
    <x:dxf>
      <x:font>
        <x:color rgb="FF8C4A00"/>
      </x:font>
      <x:fill>
        <x:patternFill patternType="solid">
          <x:bgColor rgb="FFFFF0D9"/>
        </x:patternFill>
      </x:fill>
    </x:dxf>
    <x:dxf>
      <x:font>
        <x:color rgb="FF8C4A00"/>
      </x:font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e2240131c4c21" /><Relationship Type="http://schemas.openxmlformats.org/officeDocument/2006/relationships/theme" Target="/xl/theme/theme1.xml" Id="R04dab03bab7a4138" /><Relationship Type="http://schemas.openxmlformats.org/officeDocument/2006/relationships/sharedStrings" Target="/xl/sharedStrings.xml" Id="Rfb63b22a9dda43a6" /><Relationship Type="http://schemas.openxmlformats.org/officeDocument/2006/relationships/worksheet" Target="/xl/worksheets/sheet1.xml" Id="Re0de7929e84641aa" /><Relationship Type="http://schemas.openxmlformats.org/officeDocument/2006/relationships/worksheet" Target="/xl/worksheets/sheet2.xml" Id="R0c44aec939934c4a" /></Relationships>
</file>

<file path=xl/tables/table1.xml><?xml version="1.0" encoding="utf-8"?>
<x:table xmlns:x="http://schemas.openxmlformats.org/spreadsheetml/2006/main" id="1" name="JobSource" displayName="JobSource" ref="A5:F14" headerRowCount="1" totalsRowCount="0" totalsRowShown="0">
  <x:tableColumns count="6">
    <x:tableColumn id="1" name="Job ID"/>
    <x:tableColumn id="2" name="Workspace"/>
    <x:tableColumn id="3" name="Original timestamp"/>
    <x:tableColumn id="4" name="UTC timestamp"/>
    <x:tableColumn id="5" name="Status"/>
    <x:tableColumn id="6" name="Billed c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emptSource" displayName="AttemptSource" ref="H5:L14" headerRowCount="1" totalsRowCount="0" totalsRowShown="0">
  <x:tableColumns count="5">
    <x:tableColumn id="1" name="Attempt ID"/>
    <x:tableColumn id="2" name="Job ID"/>
    <x:tableColumn id="3" name="Cost cents"/>
    <x:tableColumn id="4" name="Cost valid"/>
    <x:tableColumn id="5" name="Unassign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spaceSource" displayName="WorkspaceSource" ref="N5:O8" headerRowCount="1" totalsRowCount="0" totalsRowShown="0">
  <x:tableColumns count="2">
    <x:tableColumn id="1" name="Workspace"/>
    <x:tableColumn id="2" name="Pl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8ad8a2b1d4d5b" /><Relationship Type="http://schemas.openxmlformats.org/officeDocument/2006/relationships/table" Target="/xl/tables/table2.xml" Id="Rccdf36994346411b" /><Relationship Type="http://schemas.openxmlformats.org/officeDocument/2006/relationships/table" Target="/xl/tables/table3.xml" Id="R47d4277338364f4e" /></Relationships>
</file>

<file path=xl/worksheets/sheet1.xml><?xml version="1.0" encoding="utf-8"?>
<x:worksheet xmlns:x="http://schemas.openxmlformats.org/spreadsheetml/2006/main">
  <x:sheetPr>
    <x:tabColor rgb="FF243F68"/>
  </x:sheetPr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12" hidden="0" customWidth="1"/>
    <x:col min="4" max="4" width="18" hidden="0" customWidth="1"/>
    <x:col min="5" max="5" width="25" hidden="0" customWidth="1"/>
    <x:col min="6" max="6" width="15" hidden="0" customWidth="1"/>
    <x:col min="7" max="7" width="17" hidden="0" customWidth="1"/>
    <x:col min="8" max="8" width="16" hidden="0" customWidth="1"/>
    <x:col min="9" max="9" width="19" hidden="0" customWidth="1"/>
    <x:col min="10" max="10" width="17" hidden="0" customWidth="1"/>
    <x:col min="11" max="11" width="16" hidden="0" customWidth="1"/>
    <x:col min="12" max="12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2" t="str">
        <x:v>Job reconciliation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1" t="str">
        <x:v>UTC reporting period. Amounts are cents. n.a. means the amount is incomplete.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A5" s="1" t="str">
        <x:v>Period start</x:v>
      </x:c>
      <x:c r="B5" s="4" t="d">
        <x:v>2026-10-01T00:00:00.000Z</x:v>
      </x:c>
      <x:c r="C5" s="1"/>
      <x:c r="D5" s="1" t="str">
        <x:v>End (exclusive)</x:v>
      </x:c>
      <x:c r="E5" s="4" t="d">
        <x:v>2026-11-01T00:00:00.000Z</x:v>
      </x:c>
      <x:c r="F5" s="1"/>
      <x:c r="G5" s="1"/>
      <x:c r="H5" s="1"/>
      <x:c r="I5" s="1"/>
      <x:c r="J5" s="1"/>
      <x:c r="K5" s="1"/>
      <x:c r="L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0" customHeight="1">
      <x:c r="A7" s="15" t="str">
        <x:v>Metric</x:v>
      </x:c>
      <x:c r="B7" s="15" t="str">
        <x:v>Value</x:v>
      </x:c>
      <x:c r="C7" s="15" t="str">
        <x:v>Unit</x:v>
      </x:c>
      <x:c r="D7" s="1"/>
      <x:c r="E7" s="15" t="str">
        <x:v>Plan</x:v>
      </x:c>
      <x:c r="F7" s="15" t="str">
        <x:v>Known billed</x:v>
      </x:c>
      <x:c r="G7" s="15" t="str">
        <x:v>Missing billing</x:v>
      </x:c>
      <x:c r="H7" s="15" t="str">
        <x:v>Known cost</x:v>
      </x:c>
      <x:c r="I7" s="15" t="str">
        <x:v>Jobs</x:v>
      </x:c>
      <x:c r="J7" s="1"/>
      <x:c r="K7" s="1"/>
      <x:c r="L7" s="1"/>
    </x:row>
    <x:row r="8" ht="21" customHeight="1">
      <x:c r="A8" s="1" t="str">
        <x:v>Jobs in period</x:v>
      </x:c>
      <x:c r="B8" s="16" t="n">
        <x:f>SUM(G20:G28)</x:f>
        <x:v>5</x:v>
      </x:c>
      <x:c r="C8" s="1" t="str">
        <x:v>jobs</x:v>
      </x:c>
      <x:c r="D8" s="1"/>
      <x:c r="E8" s="1" t="str">
        <x:v>paid</x:v>
      </x:c>
      <x:c r="F8" s="18" t="n">
        <x:f>SUMIFS($I$20:$I$28,$C$20:$C$28,E8)</x:f>
        <x:v>200</x:v>
      </x:c>
      <x:c r="G8" s="18" t="n">
        <x:f>SUMIFS($H$20:$H$28,$C$20:$C$28,E8)</x:f>
        <x:v>1</x:v>
      </x:c>
      <x:c r="H8" s="18" t="n">
        <x:f>SUMIFS($J$20:$J$28,$C$20:$C$28,E8)</x:f>
        <x:v>65</x:v>
      </x:c>
      <x:c r="I8" s="18" t="n">
        <x:f>SUMIFS($G$20:$G$28,$C$20:$C$28,E8)</x:f>
        <x:v>2</x:v>
      </x:c>
      <x:c r="J8" s="1"/>
      <x:c r="K8" s="1"/>
      <x:c r="L8" s="1"/>
    </x:row>
    <x:row r="9" ht="21" customHeight="1">
      <x:c r="A9" s="1" t="str">
        <x:v>Completed jobs</x:v>
      </x:c>
      <x:c r="B9" s="16" t="n">
        <x:f>SUM(L20:L28)</x:f>
        <x:v>4</x:v>
      </x:c>
      <x:c r="C9" s="1" t="str">
        <x:v>jobs</x:v>
      </x:c>
      <x:c r="D9" s="1"/>
      <x:c r="E9" s="1" t="str">
        <x:v>free</x:v>
      </x:c>
      <x:c r="F9" s="18" t="n">
        <x:f>SUMIFS($I$20:$I$28,$C$20:$C$28,E9)</x:f>
        <x:v>0</x:v>
      </x:c>
      <x:c r="G9" s="18" t="n">
        <x:f>SUMIFS($H$20:$H$28,$C$20:$C$28,E9)</x:f>
        <x:v>1</x:v>
      </x:c>
      <x:c r="H9" s="18" t="n">
        <x:f>SUMIFS($J$20:$J$28,$C$20:$C$28,E9)</x:f>
        <x:v>35</x:v>
      </x:c>
      <x:c r="I9" s="18" t="n">
        <x:f>SUMIFS($G$20:$G$28,$C$20:$C$28,E9)</x:f>
        <x:v>2</x:v>
      </x:c>
      <x:c r="J9" s="1"/>
      <x:c r="K9" s="1"/>
      <x:c r="L9" s="1"/>
    </x:row>
    <x:row r="10" ht="21" customHeight="1">
      <x:c r="A10" s="1" t="str">
        <x:v>Known billed subtotal</x:v>
      </x:c>
      <x:c r="B10" s="16" t="n">
        <x:f>SUM(I20:I28)</x:f>
        <x:v>290</x:v>
      </x:c>
      <x:c r="C10" s="1" t="str">
        <x:v>cents</x:v>
      </x:c>
      <x:c r="D10" s="1"/>
      <x:c r="E10" s="1" t="str">
        <x:v>Unmapped</x:v>
      </x:c>
      <x:c r="F10" s="18" t="n">
        <x:f>SUMIFS($I$20:$I$28,$C$20:$C$28,E10)</x:f>
        <x:v>90</x:v>
      </x:c>
      <x:c r="G10" s="18" t="n">
        <x:f>SUMIFS($H$20:$H$28,$C$20:$C$28,E10)</x:f>
        <x:v>0</x:v>
      </x:c>
      <x:c r="H10" s="18" t="n">
        <x:f>SUMIFS($J$20:$J$28,$C$20:$C$28,E10)</x:f>
        <x:v>10</x:v>
      </x:c>
      <x:c r="I10" s="18" t="n">
        <x:f>SUMIFS($G$20:$G$28,$C$20:$C$28,E10)</x:f>
        <x:v>1</x:v>
      </x:c>
      <x:c r="J10" s="1"/>
      <x:c r="K10" s="1"/>
      <x:c r="L10" s="1"/>
    </x:row>
    <x:row r="11" ht="21" customHeight="1">
      <x:c r="A11" s="1" t="str">
        <x:v>Jobs missing billing</x:v>
      </x:c>
      <x:c r="B11" s="16" t="n">
        <x:f>SUM(H20:H28)</x:f>
        <x:v>2</x:v>
      </x:c>
      <x:c r="C11" s="1" t="str">
        <x:v>jobs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1" customHeight="1">
      <x:c r="A12" s="1" t="str">
        <x:v>Complete billed total</x:v>
      </x:c>
      <x:c r="B12" s="16" t="str">
        <x:f>IF(B11=0,B10,"n.a.")</x:f>
        <x:v>n.a.</x:v>
      </x:c>
      <x:c r="C12" s="1" t="str">
        <x:v>cents</x:v>
      </x:c>
      <x:c r="D12" s="1"/>
      <x:c r="E12" s="10" t="str">
        <x:v>Reconciliation items</x:v>
      </x:c>
      <x:c r="F12" s="1"/>
      <x:c r="G12" s="1"/>
      <x:c r="H12" s="1"/>
      <x:c r="I12" s="1"/>
      <x:c r="J12" s="1"/>
      <x:c r="K12" s="1"/>
      <x:c r="L12" s="1"/>
    </x:row>
    <x:row r="13" ht="21" customHeight="1">
      <x:c r="A13" s="1" t="str">
        <x:v>Known provider subtotal</x:v>
      </x:c>
      <x:c r="B13" s="16" t="n">
        <x:f>SUM(J20:J28)</x:f>
        <x:v>110</x:v>
      </x:c>
      <x:c r="C13" s="1" t="str">
        <x:v>cents</x:v>
      </x:c>
      <x:c r="D13" s="1"/>
      <x:c r="E13" s="1" t="str">
        <x:v>Unassigned cost (cents)</x:v>
      </x:c>
      <x:c r="F13" s="1"/>
      <x:c r="G13" s="18" t="n">
        <x:f>SUMIFS(Sources!$J$6:$J$14,Sources!$L$6:$L$14,1)</x:f>
        <x:v>7</x:v>
      </x:c>
      <x:c r="H13" s="1"/>
      <x:c r="I13" s="1"/>
      <x:c r="J13" s="1"/>
      <x:c r="K13" s="1"/>
      <x:c r="L13" s="1"/>
    </x:row>
    <x:row r="14" ht="21" customHeight="1">
      <x:c r="A14" s="1" t="str">
        <x:v>Jobs missing cost</x:v>
      </x:c>
      <x:c r="B14" s="16" t="n">
        <x:f>SUM(K20:K28)</x:f>
        <x:v>0</x:v>
      </x:c>
      <x:c r="C14" s="1" t="str">
        <x:v>jobs</x:v>
      </x:c>
      <x:c r="D14" s="1"/>
      <x:c r="E14" s="1" t="str">
        <x:v>Unassigned attempts</x:v>
      </x:c>
      <x:c r="F14" s="1"/>
      <x:c r="G14" s="18" t="n">
        <x:f>COUNTIFS(Sources!$L$6:$L$14,1)</x:f>
        <x:v>1</x:v>
      </x:c>
      <x:c r="H14" s="1"/>
      <x:c r="I14" s="1"/>
      <x:c r="J14" s="1"/>
      <x:c r="K14" s="1"/>
      <x:c r="L14" s="1"/>
    </x:row>
    <x:row r="15" ht="21" customHeight="1">
      <x:c r="A15" s="1" t="str">
        <x:v>Complete provider total</x:v>
      </x:c>
      <x:c r="B15" s="16" t="n">
        <x:f>IF(B14=0,B13,"n.a.")</x:f>
        <x:v>110</x:v>
      </x:c>
      <x:c r="C15" s="1" t="str">
        <x:v>cents</x:v>
      </x:c>
      <x:c r="D15" s="1"/>
      <x:c r="E15" s="1" t="str">
        <x:v>Jobs with date issues</x:v>
      </x:c>
      <x:c r="F15" s="1"/>
      <x:c r="G15" s="18" t="n">
        <x:f>COUNTBLANK(Sources!$D$6:$D$14)</x:f>
        <x:v>2</x:v>
      </x:c>
      <x:c r="H15" s="1"/>
      <x:c r="I15" s="1"/>
      <x:c r="J15" s="1"/>
      <x:c r="K15" s="1"/>
      <x:c r="L15" s="1"/>
    </x:row>
    <x:row r="16" ht="21" customHeight="1">
      <x:c r="A16" s="1" t="str">
        <x:v>Completed share</x:v>
      </x:c>
      <x:c r="B16" s="17" t="n">
        <x:f>IF(B8=0,"n.a.",B9/B8)</x:f>
        <x:v>0.8</x:v>
      </x:c>
      <x:c r="C16" s="1" t="str">
        <x:v>share</x:v>
      </x:c>
      <x:c r="D16" s="1"/>
      <x:c r="E16" s="1" t="str">
        <x:v>Unmapped period jobs</x:v>
      </x:c>
      <x:c r="F16" s="1"/>
      <x:c r="G16" s="18" t="n">
        <x:f>SUMIFS($G$20:$G$28,$C$20:$C$28,"Unmapped")</x:f>
        <x:v>1</x:v>
      </x:c>
      <x:c r="H16" s="1"/>
      <x:c r="I16" s="1"/>
      <x:c r="J16" s="1"/>
      <x:c r="K16" s="1"/>
      <x:c r="L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1" customHeight="1">
      <x:c r="A18" s="1" t="str">
        <x:v>Job calculations: one row per prepared job; source tables retain unmatched costs.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30" customHeight="1">
      <x:c r="A19" s="15" t="str">
        <x:v>Job ID</x:v>
      </x:c>
      <x:c r="B19" s="15" t="str">
        <x:v>UTC timestamp</x:v>
      </x:c>
      <x:c r="C19" s="15" t="str">
        <x:v>Plan</x:v>
      </x:c>
      <x:c r="D19" s="15" t="str">
        <x:v>Status</x:v>
      </x:c>
      <x:c r="E19" s="15" t="str">
        <x:v>Billed cents</x:v>
      </x:c>
      <x:c r="F19" s="15" t="str">
        <x:v>Known cost</x:v>
      </x:c>
      <x:c r="G19" s="15" t="str">
        <x:v>In period</x:v>
      </x:c>
      <x:c r="H19" s="15" t="str">
        <x:v>Missing bill</x:v>
      </x:c>
      <x:c r="I19" s="15" t="str">
        <x:v>Period billed</x:v>
      </x:c>
      <x:c r="J19" s="15" t="str">
        <x:v>Period cost</x:v>
      </x:c>
      <x:c r="K19" s="15" t="str">
        <x:v>Missing cost</x:v>
      </x:c>
      <x:c r="L19" s="15" t="str">
        <x:v>Completed</x:v>
      </x:c>
    </x:row>
    <x:row r="20" ht="21" customHeight="1">
      <x:c r="A20" s="6" t="str">
        <x:f>Sources!A6</x:f>
        <x:v>0001</x:v>
      </x:c>
      <x:c r="B20" s="7" t="n">
        <x:f>IF(ISNUMBER(Sources!D6),Sources!D6,"")</x:f>
        <x:v>46295.791666666664</x:v>
      </x:c>
      <x:c r="C20" s="1" t="str">
        <x:f>IF(COUNTIFS(Sources!$N$6:$N$8,Sources!B6)=0,"Unmapped",IF(COUNTIFS(Sources!$N$6:$N$8,Sources!B6)&gt;1,"Duplicate key",IF(INDEX(Sources!$O$6:$O$8,MATCH(Sources!B6,Sources!$N$6:$N$8,0))="","Missing plan",INDEX(Sources!$O$6:$O$8,MATCH(Sources!B6,Sources!$N$6:$N$8,0)))))</x:f>
        <x:v>paid</x:v>
      </x:c>
      <x:c r="D20" s="1" t="str">
        <x:f>Sources!E6</x:f>
        <x:v>completed</x:v>
      </x:c>
      <x:c r="E20" s="8" t="n">
        <x:f>IF(ISNUMBER(Sources!F6),Sources!F6,"n.a.")</x:f>
        <x:v>100</x:v>
      </x:c>
      <x:c r="F20" s="8" t="n">
        <x:f>SUMIFS(Sources!$J$6:$J$14,Sources!$I$6:$I$14,A20)</x:f>
        <x:v>10</x:v>
      </x:c>
      <x:c r="G20" s="8" t="n">
        <x:f>IF(ISNUMBER(B20),IF(AND(B20&gt;=$B$5,B20&lt;$E$5),1,0),0)</x:f>
        <x:v>0</x:v>
      </x:c>
      <x:c r="H20" s="8" t="n">
        <x:f>IF(AND(G20=1,NOT(ISNUMBER(E20))),1,0)</x:f>
        <x:v>0</x:v>
      </x:c>
      <x:c r="I20" s="8" t="n">
        <x:f>IF(AND(G20=1,ISNUMBER(E20)),E20,0)</x:f>
        <x:v>0</x:v>
      </x:c>
      <x:c r="J20" s="8" t="n">
        <x:f>IF(G20=1,F20,0)</x:f>
        <x:v>0</x:v>
      </x:c>
      <x:c r="K20" s="8" t="n">
        <x:f>IF(G20=1,IF(OR(COUNTIFS(Sources!$I$6:$I$14,A20)=0,SUMIFS(Sources!$K$6:$K$14,Sources!$I$6:$I$14,A20)&lt;&gt;COUNTIFS(Sources!$I$6:$I$14,A20)),1,0),0)</x:f>
        <x:v>0</x:v>
      </x:c>
      <x:c r="L20" s="8" t="n">
        <x:f>IF(AND(G20=1,D20="completed"),1,0)</x:f>
        <x:v>0</x:v>
      </x:c>
    </x:row>
    <x:row r="21" ht="21" customHeight="1">
      <x:c r="A21" s="6" t="str">
        <x:f>Sources!A7</x:f>
        <x:v>0002</x:v>
      </x:c>
      <x:c r="B21" s="7" t="n">
        <x:f>IF(ISNUMBER(Sources!D7),Sources!D7,"")</x:f>
        <x:v>46296.020833333336</x:v>
      </x:c>
      <x:c r="C21" s="1" t="str">
        <x:f>IF(COUNTIFS(Sources!$N$6:$N$8,Sources!B7)=0,"Unmapped",IF(COUNTIFS(Sources!$N$6:$N$8,Sources!B7)&gt;1,"Duplicate key",IF(INDEX(Sources!$O$6:$O$8,MATCH(Sources!B7,Sources!$N$6:$N$8,0))="","Missing plan",INDEX(Sources!$O$6:$O$8,MATCH(Sources!B7,Sources!$N$6:$N$8,0)))))</x:f>
        <x:v>paid</x:v>
      </x:c>
      <x:c r="D21" s="1" t="str">
        <x:f>Sources!E7</x:f>
        <x:v>completed</x:v>
      </x:c>
      <x:c r="E21" s="8" t="n">
        <x:f>IF(ISNUMBER(Sources!F7),Sources!F7,"n.a.")</x:f>
        <x:v>200</x:v>
      </x:c>
      <x:c r="F21" s="8" t="n">
        <x:f>SUMIFS(Sources!$J$6:$J$14,Sources!$I$6:$I$14,A21)</x:f>
        <x:v>40</x:v>
      </x:c>
      <x:c r="G21" s="8" t="n">
        <x:f>IF(ISNUMBER(B21),IF(AND(B21&gt;=$B$5,B21&lt;$E$5),1,0),0)</x:f>
        <x:v>1</x:v>
      </x:c>
      <x:c r="H21" s="8" t="n">
        <x:f>IF(AND(G21=1,NOT(ISNUMBER(E21))),1,0)</x:f>
        <x:v>0</x:v>
      </x:c>
      <x:c r="I21" s="8" t="n">
        <x:f>IF(AND(G21=1,ISNUMBER(E21)),E21,0)</x:f>
        <x:v>200</x:v>
      </x:c>
      <x:c r="J21" s="8" t="n">
        <x:f>IF(G21=1,F21,0)</x:f>
        <x:v>40</x:v>
      </x:c>
      <x:c r="K21" s="8" t="n">
        <x:f>IF(G21=1,IF(OR(COUNTIFS(Sources!$I$6:$I$14,A21)=0,SUMIFS(Sources!$K$6:$K$14,Sources!$I$6:$I$14,A21)&lt;&gt;COUNTIFS(Sources!$I$6:$I$14,A21)),1,0),0)</x:f>
        <x:v>0</x:v>
      </x:c>
      <x:c r="L21" s="8" t="n">
        <x:f>IF(AND(G21=1,D21="completed"),1,0)</x:f>
        <x:v>1</x:v>
      </x:c>
    </x:row>
    <x:row r="22" ht="21" customHeight="1">
      <x:c r="A22" s="6" t="str">
        <x:f>Sources!A8</x:f>
        <x:v>0003</x:v>
      </x:c>
      <x:c r="B22" s="7" t="n">
        <x:f>IF(ISNUMBER(Sources!D8),Sources!D8,"")</x:f>
        <x:v>46310.5</x:v>
      </x:c>
      <x:c r="C22" s="1" t="str">
        <x:f>IF(COUNTIFS(Sources!$N$6:$N$8,Sources!B8)=0,"Unmapped",IF(COUNTIFS(Sources!$N$6:$N$8,Sources!B8)&gt;1,"Duplicate key",IF(INDEX(Sources!$O$6:$O$8,MATCH(Sources!B8,Sources!$N$6:$N$8,0))="","Missing plan",INDEX(Sources!$O$6:$O$8,MATCH(Sources!B8,Sources!$N$6:$N$8,0)))))</x:f>
        <x:v>free</x:v>
      </x:c>
      <x:c r="D22" s="1" t="str">
        <x:f>Sources!E8</x:f>
        <x:v>completed</x:v>
      </x:c>
      <x:c r="E22" s="8" t="n">
        <x:f>IF(ISNUMBER(Sources!F8),Sources!F8,"n.a.")</x:f>
        <x:v>0</x:v>
      </x:c>
      <x:c r="F22" s="8" t="n">
        <x:f>SUMIFS(Sources!$J$6:$J$14,Sources!$I$6:$I$14,A22)</x:f>
        <x:v>20</x:v>
      </x:c>
      <x:c r="G22" s="8" t="n">
        <x:f>IF(ISNUMBER(B22),IF(AND(B22&gt;=$B$5,B22&lt;$E$5),1,0),0)</x:f>
        <x:v>1</x:v>
      </x:c>
      <x:c r="H22" s="8" t="n">
        <x:f>IF(AND(G22=1,NOT(ISNUMBER(E22))),1,0)</x:f>
        <x:v>0</x:v>
      </x:c>
      <x:c r="I22" s="8" t="n">
        <x:f>IF(AND(G22=1,ISNUMBER(E22)),E22,0)</x:f>
        <x:v>0</x:v>
      </x:c>
      <x:c r="J22" s="8" t="n">
        <x:f>IF(G22=1,F22,0)</x:f>
        <x:v>20</x:v>
      </x:c>
      <x:c r="K22" s="8" t="n">
        <x:f>IF(G22=1,IF(OR(COUNTIFS(Sources!$I$6:$I$14,A22)=0,SUMIFS(Sources!$K$6:$K$14,Sources!$I$6:$I$14,A22)&lt;&gt;COUNTIFS(Sources!$I$6:$I$14,A22)),1,0),0)</x:f>
        <x:v>0</x:v>
      </x:c>
      <x:c r="L22" s="8" t="n">
        <x:f>IF(AND(G22=1,D22="completed"),1,0)</x:f>
        <x:v>1</x:v>
      </x:c>
    </x:row>
    <x:row r="23" ht="21" customHeight="1">
      <x:c r="A23" s="6" t="str">
        <x:f>Sources!A9</x:f>
        <x:v>0004</x:v>
      </x:c>
      <x:c r="B23" s="7" t="n">
        <x:f>IF(ISNUMBER(Sources!D9),Sources!D9,"")</x:f>
        <x:v>46315.5</x:v>
      </x:c>
      <x:c r="C23" s="1" t="str">
        <x:f>IF(COUNTIFS(Sources!$N$6:$N$8,Sources!B9)=0,"Unmapped",IF(COUNTIFS(Sources!$N$6:$N$8,Sources!B9)&gt;1,"Duplicate key",IF(INDEX(Sources!$O$6:$O$8,MATCH(Sources!B9,Sources!$N$6:$N$8,0))="","Missing plan",INDEX(Sources!$O$6:$O$8,MATCH(Sources!B9,Sources!$N$6:$N$8,0)))))</x:f>
        <x:v>free</x:v>
      </x:c>
      <x:c r="D23" s="1" t="str">
        <x:f>Sources!E9</x:f>
        <x:v>failed</x:v>
      </x:c>
      <x:c r="E23" s="8" t="str">
        <x:f>IF(ISNUMBER(Sources!F9),Sources!F9,"n.a.")</x:f>
        <x:v>n.a.</x:v>
      </x:c>
      <x:c r="F23" s="8" t="n">
        <x:f>SUMIFS(Sources!$J$6:$J$14,Sources!$I$6:$I$14,A23)</x:f>
        <x:v>15</x:v>
      </x:c>
      <x:c r="G23" s="8" t="n">
        <x:f>IF(ISNUMBER(B23),IF(AND(B23&gt;=$B$5,B23&lt;$E$5),1,0),0)</x:f>
        <x:v>1</x:v>
      </x:c>
      <x:c r="H23" s="8" t="n">
        <x:f>IF(AND(G23=1,NOT(ISNUMBER(E23))),1,0)</x:f>
        <x:v>1</x:v>
      </x:c>
      <x:c r="I23" s="8" t="n">
        <x:f>IF(AND(G23=1,ISNUMBER(E23)),E23,0)</x:f>
        <x:v>0</x:v>
      </x:c>
      <x:c r="J23" s="8" t="n">
        <x:f>IF(G23=1,F23,0)</x:f>
        <x:v>15</x:v>
      </x:c>
      <x:c r="K23" s="8" t="n">
        <x:f>IF(G23=1,IF(OR(COUNTIFS(Sources!$I$6:$I$14,A23)=0,SUMIFS(Sources!$K$6:$K$14,Sources!$I$6:$I$14,A23)&lt;&gt;COUNTIFS(Sources!$I$6:$I$14,A23)),1,0),0)</x:f>
        <x:v>0</x:v>
      </x:c>
      <x:c r="L23" s="8" t="n">
        <x:f>IF(AND(G23=1,D23="completed"),1,0)</x:f>
        <x:v>0</x:v>
      </x:c>
    </x:row>
    <x:row r="24" ht="21" customHeight="1">
      <x:c r="A24" s="6" t="str">
        <x:f>Sources!A10</x:f>
        <x:v>0005</x:v>
      </x:c>
      <x:c r="B24" s="7" t="n">
        <x:f>IF(ISNUMBER(Sources!D10),Sources!D10,"")</x:f>
        <x:v>46326.979166666664</x:v>
      </x:c>
      <x:c r="C24" s="1" t="str">
        <x:f>IF(COUNTIFS(Sources!$N$6:$N$8,Sources!B10)=0,"Unmapped",IF(COUNTIFS(Sources!$N$6:$N$8,Sources!B10)&gt;1,"Duplicate key",IF(INDEX(Sources!$O$6:$O$8,MATCH(Sources!B10,Sources!$N$6:$N$8,0))="","Missing plan",INDEX(Sources!$O$6:$O$8,MATCH(Sources!B10,Sources!$N$6:$N$8,0)))))</x:f>
        <x:v>paid</x:v>
      </x:c>
      <x:c r="D24" s="1" t="str">
        <x:f>Sources!E10</x:f>
        <x:v>completed</x:v>
      </x:c>
      <x:c r="E24" s="8" t="str">
        <x:f>IF(ISNUMBER(Sources!F10),Sources!F10,"n.a.")</x:f>
        <x:v>n.a.</x:v>
      </x:c>
      <x:c r="F24" s="8" t="n">
        <x:f>SUMIFS(Sources!$J$6:$J$14,Sources!$I$6:$I$14,A24)</x:f>
        <x:v>25</x:v>
      </x:c>
      <x:c r="G24" s="8" t="n">
        <x:f>IF(ISNUMBER(B24),IF(AND(B24&gt;=$B$5,B24&lt;$E$5),1,0),0)</x:f>
        <x:v>1</x:v>
      </x:c>
      <x:c r="H24" s="8" t="n">
        <x:f>IF(AND(G24=1,NOT(ISNUMBER(E24))),1,0)</x:f>
        <x:v>1</x:v>
      </x:c>
      <x:c r="I24" s="8" t="n">
        <x:f>IF(AND(G24=1,ISNUMBER(E24)),E24,0)</x:f>
        <x:v>0</x:v>
      </x:c>
      <x:c r="J24" s="8" t="n">
        <x:f>IF(G24=1,F24,0)</x:f>
        <x:v>25</x:v>
      </x:c>
      <x:c r="K24" s="8" t="n">
        <x:f>IF(G24=1,IF(OR(COUNTIFS(Sources!$I$6:$I$14,A24)=0,SUMIFS(Sources!$K$6:$K$14,Sources!$I$6:$I$14,A24)&lt;&gt;COUNTIFS(Sources!$I$6:$I$14,A24)),1,0),0)</x:f>
        <x:v>0</x:v>
      </x:c>
      <x:c r="L24" s="8" t="n">
        <x:f>IF(AND(G24=1,D24="completed"),1,0)</x:f>
        <x:v>1</x:v>
      </x:c>
    </x:row>
    <x:row r="25" ht="21" customHeight="1">
      <x:c r="A25" s="6" t="str">
        <x:f>Sources!A11</x:f>
        <x:v>0006</x:v>
      </x:c>
      <x:c r="B25" s="7" t="n">
        <x:f>IF(ISNUMBER(Sources!D11),Sources!D11,"")</x:f>
        <x:v>46327</x:v>
      </x:c>
      <x:c r="C25" s="1" t="str">
        <x:f>IF(COUNTIFS(Sources!$N$6:$N$8,Sources!B11)=0,"Unmapped",IF(COUNTIFS(Sources!$N$6:$N$8,Sources!B11)&gt;1,"Duplicate key",IF(INDEX(Sources!$O$6:$O$8,MATCH(Sources!B11,Sources!$N$6:$N$8,0))="","Missing plan",INDEX(Sources!$O$6:$O$8,MATCH(Sources!B11,Sources!$N$6:$N$8,0)))))</x:f>
        <x:v>paid</x:v>
      </x:c>
      <x:c r="D25" s="1" t="str">
        <x:f>Sources!E11</x:f>
        <x:v>completed</x:v>
      </x:c>
      <x:c r="E25" s="8" t="n">
        <x:f>IF(ISNUMBER(Sources!F11),Sources!F11,"n.a.")</x:f>
        <x:v>400</x:v>
      </x:c>
      <x:c r="F25" s="8" t="n">
        <x:f>SUMIFS(Sources!$J$6:$J$14,Sources!$I$6:$I$14,A25)</x:f>
        <x:v>50</x:v>
      </x:c>
      <x:c r="G25" s="8" t="n">
        <x:f>IF(ISNUMBER(B25),IF(AND(B25&gt;=$B$5,B25&lt;$E$5),1,0),0)</x:f>
        <x:v>0</x:v>
      </x:c>
      <x:c r="H25" s="8" t="n">
        <x:f>IF(AND(G25=1,NOT(ISNUMBER(E25))),1,0)</x:f>
        <x:v>0</x:v>
      </x:c>
      <x:c r="I25" s="8" t="n">
        <x:f>IF(AND(G25=1,ISNUMBER(E25)),E25,0)</x:f>
        <x:v>0</x:v>
      </x:c>
      <x:c r="J25" s="8" t="n">
        <x:f>IF(G25=1,F25,0)</x:f>
        <x:v>0</x:v>
      </x:c>
      <x:c r="K25" s="8" t="n">
        <x:f>IF(G25=1,IF(OR(COUNTIFS(Sources!$I$6:$I$14,A25)=0,SUMIFS(Sources!$K$6:$K$14,Sources!$I$6:$I$14,A25)&lt;&gt;COUNTIFS(Sources!$I$6:$I$14,A25)),1,0),0)</x:f>
        <x:v>0</x:v>
      </x:c>
      <x:c r="L25" s="8" t="n">
        <x:f>IF(AND(G25=1,D25="completed"),1,0)</x:f>
        <x:v>0</x:v>
      </x:c>
    </x:row>
    <x:row r="26" ht="21" customHeight="1">
      <x:c r="A26" s="6" t="str">
        <x:f>Sources!A12</x:f>
        <x:v>0007</x:v>
      </x:c>
      <x:c r="B26" s="7" t="str">
        <x:f>IF(ISNUMBER(Sources!D12),Sources!D12,"")</x:f>
      </x:c>
      <x:c r="C26" s="1" t="str">
        <x:f>IF(COUNTIFS(Sources!$N$6:$N$8,Sources!B12)=0,"Unmapped",IF(COUNTIFS(Sources!$N$6:$N$8,Sources!B12)&gt;1,"Duplicate key",IF(INDEX(Sources!$O$6:$O$8,MATCH(Sources!B12,Sources!$N$6:$N$8,0))="","Missing plan",INDEX(Sources!$O$6:$O$8,MATCH(Sources!B12,Sources!$N$6:$N$8,0)))))</x:f>
        <x:v>paid</x:v>
      </x:c>
      <x:c r="D26" s="1" t="str">
        <x:f>Sources!E12</x:f>
        <x:v>completed</x:v>
      </x:c>
      <x:c r="E26" s="8" t="n">
        <x:f>IF(ISNUMBER(Sources!F12),Sources!F12,"n.a.")</x:f>
        <x:v>50</x:v>
      </x:c>
      <x:c r="F26" s="8" t="n">
        <x:f>SUMIFS(Sources!$J$6:$J$14,Sources!$I$6:$I$14,A26)</x:f>
        <x:v>0</x:v>
      </x:c>
      <x:c r="G26" s="8" t="n">
        <x:f>IF(ISNUMBER(B26),IF(AND(B26&gt;=$B$5,B26&lt;$E$5),1,0),0)</x:f>
        <x:v>0</x:v>
      </x:c>
      <x:c r="H26" s="8" t="n">
        <x:f>IF(AND(G26=1,NOT(ISNUMBER(E26))),1,0)</x:f>
        <x:v>0</x:v>
      </x:c>
      <x:c r="I26" s="8" t="n">
        <x:f>IF(AND(G26=1,ISNUMBER(E26)),E26,0)</x:f>
        <x:v>0</x:v>
      </x:c>
      <x:c r="J26" s="8" t="n">
        <x:f>IF(G26=1,F26,0)</x:f>
        <x:v>0</x:v>
      </x:c>
      <x:c r="K26" s="8" t="n">
        <x:f>IF(G26=1,IF(OR(COUNTIFS(Sources!$I$6:$I$14,A26)=0,SUMIFS(Sources!$K$6:$K$14,Sources!$I$6:$I$14,A26)&lt;&gt;COUNTIFS(Sources!$I$6:$I$14,A26)),1,0),0)</x:f>
        <x:v>0</x:v>
      </x:c>
      <x:c r="L26" s="8" t="n">
        <x:f>IF(AND(G26=1,D26="completed"),1,0)</x:f>
        <x:v>0</x:v>
      </x:c>
    </x:row>
    <x:row r="27" ht="21" customHeight="1">
      <x:c r="A27" s="6" t="str">
        <x:f>Sources!A13</x:f>
        <x:v>0008</x:v>
      </x:c>
      <x:c r="B27" s="7" t="str">
        <x:f>IF(ISNUMBER(Sources!D13),Sources!D13,"")</x:f>
      </x:c>
      <x:c r="C27" s="1" t="str">
        <x:f>IF(COUNTIFS(Sources!$N$6:$N$8,Sources!B13)=0,"Unmapped",IF(COUNTIFS(Sources!$N$6:$N$8,Sources!B13)&gt;1,"Duplicate key",IF(INDEX(Sources!$O$6:$O$8,MATCH(Sources!B13,Sources!$N$6:$N$8,0))="","Missing plan",INDEX(Sources!$O$6:$O$8,MATCH(Sources!B13,Sources!$N$6:$N$8,0)))))</x:f>
        <x:v>paid</x:v>
      </x:c>
      <x:c r="D27" s="1" t="str">
        <x:f>Sources!E13</x:f>
        <x:v>completed</x:v>
      </x:c>
      <x:c r="E27" s="8" t="n">
        <x:f>IF(ISNUMBER(Sources!F13),Sources!F13,"n.a.")</x:f>
        <x:v>80</x:v>
      </x:c>
      <x:c r="F27" s="8" t="n">
        <x:f>SUMIFS(Sources!$J$6:$J$14,Sources!$I$6:$I$14,A27)</x:f>
        <x:v>0</x:v>
      </x:c>
      <x:c r="G27" s="8" t="n">
        <x:f>IF(ISNUMBER(B27),IF(AND(B27&gt;=$B$5,B27&lt;$E$5),1,0),0)</x:f>
        <x:v>0</x:v>
      </x:c>
      <x:c r="H27" s="8" t="n">
        <x:f>IF(AND(G27=1,NOT(ISNUMBER(E27))),1,0)</x:f>
        <x:v>0</x:v>
      </x:c>
      <x:c r="I27" s="8" t="n">
        <x:f>IF(AND(G27=1,ISNUMBER(E27)),E27,0)</x:f>
        <x:v>0</x:v>
      </x:c>
      <x:c r="J27" s="8" t="n">
        <x:f>IF(G27=1,F27,0)</x:f>
        <x:v>0</x:v>
      </x:c>
      <x:c r="K27" s="8" t="n">
        <x:f>IF(G27=1,IF(OR(COUNTIFS(Sources!$I$6:$I$14,A27)=0,SUMIFS(Sources!$K$6:$K$14,Sources!$I$6:$I$14,A27)&lt;&gt;COUNTIFS(Sources!$I$6:$I$14,A27)),1,0),0)</x:f>
        <x:v>0</x:v>
      </x:c>
      <x:c r="L27" s="8" t="n">
        <x:f>IF(AND(G27=1,D27="completed"),1,0)</x:f>
        <x:v>0</x:v>
      </x:c>
    </x:row>
    <x:row r="28" ht="21" customHeight="1">
      <x:c r="A28" s="6" t="str">
        <x:f>Sources!A14</x:f>
        <x:v>0009</x:v>
      </x:c>
      <x:c r="B28" s="7" t="n">
        <x:f>IF(ISNUMBER(Sources!D14),Sources!D14,"")</x:f>
        <x:v>46305</x:v>
      </x:c>
      <x:c r="C28" s="1" t="str">
        <x:f>IF(COUNTIFS(Sources!$N$6:$N$8,Sources!B14)=0,"Unmapped",IF(COUNTIFS(Sources!$N$6:$N$8,Sources!B14)&gt;1,"Duplicate key",IF(INDEX(Sources!$O$6:$O$8,MATCH(Sources!B14,Sources!$N$6:$N$8,0))="","Missing plan",INDEX(Sources!$O$6:$O$8,MATCH(Sources!B14,Sources!$N$6:$N$8,0)))))</x:f>
        <x:v>Unmapped</x:v>
      </x:c>
      <x:c r="D28" s="1" t="str">
        <x:f>Sources!E14</x:f>
        <x:v>completed</x:v>
      </x:c>
      <x:c r="E28" s="8" t="n">
        <x:f>IF(ISNUMBER(Sources!F14),Sources!F14,"n.a.")</x:f>
        <x:v>90</x:v>
      </x:c>
      <x:c r="F28" s="8" t="n">
        <x:f>SUMIFS(Sources!$J$6:$J$14,Sources!$I$6:$I$14,A28)</x:f>
        <x:v>10</x:v>
      </x:c>
      <x:c r="G28" s="8" t="n">
        <x:f>IF(ISNUMBER(B28),IF(AND(B28&gt;=$B$5,B28&lt;$E$5),1,0),0)</x:f>
        <x:v>1</x:v>
      </x:c>
      <x:c r="H28" s="8" t="n">
        <x:f>IF(AND(G28=1,NOT(ISNUMBER(E28))),1,0)</x:f>
        <x:v>0</x:v>
      </x:c>
      <x:c r="I28" s="8" t="n">
        <x:f>IF(AND(G28=1,ISNUMBER(E28)),E28,0)</x:f>
        <x:v>90</x:v>
      </x:c>
      <x:c r="J28" s="8" t="n">
        <x:f>IF(G28=1,F28,0)</x:f>
        <x:v>10</x:v>
      </x:c>
      <x:c r="K28" s="8" t="n">
        <x:f>IF(G28=1,IF(OR(COUNTIFS(Sources!$I$6:$I$14,A28)=0,SUMIFS(Sources!$K$6:$K$14,Sources!$I$6:$I$14,A28)&lt;&gt;COUNTIFS(Sources!$I$6:$I$14,A28)),1,0),0)</x:f>
        <x:v>0</x:v>
      </x:c>
      <x:c r="L28" s="8" t="n">
        <x:f>IF(AND(G28=1,D28="completed"),1,0)</x:f>
        <x:v>1</x:v>
      </x:c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</x:sheetData>
  <x:conditionalFormatting sqref="B11:B11">
    <x:cfRule type="cellIs" dxfId="0" priority="1" operator="greaterThan">
      <x:formula>0</x:formula>
    </x:cfRule>
  </x:conditionalFormatting>
  <x:conditionalFormatting sqref="B14:B14">
    <x:cfRule type="cellIs" dxfId="1" priority="2" operator="greaterThan">
      <x:formula>0</x:formula>
    </x:cfRule>
  </x:conditionalFormatting>
  <x:conditionalFormatting sqref="G13:G16"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24" hidden="0" customWidth="1"/>
    <x:col min="5" max="5" width="16" hidden="0" customWidth="1"/>
    <x:col min="6" max="6" width="16" hidden="0" customWidth="1"/>
    <x:col min="7" max="7" width="3" hidden="0" customWidth="1"/>
    <x:col min="8" max="8" width="14" hidden="0" customWidth="1"/>
    <x:col min="9" max="9" width="14" hidden="0" customWidth="1"/>
    <x:col min="10" max="10" width="15" hidden="0" customWidth="1"/>
    <x:col min="11" max="11" width="13" hidden="0" customWidth="1"/>
    <x:col min="12" max="12" width="13" hidden="0" customWidth="1"/>
    <x:col min="13" max="13" width="3" hidden="0" customWidth="1"/>
    <x:col min="14" max="14" width="16" hidden="0" customWidth="1"/>
    <x:col min="15" max="15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1" customHeight="1">
      <x:c r="A2" s="2" t="str">
        <x:v>Prepared source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1" customHeight="1">
      <x:c r="A3" s="1" t="str">
        <x:v>Source: synthetic CSV teaching case. Exact repeats removed. Rebuild after changing CSV files.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15" t="str">
        <x:v>Job ID</x:v>
      </x:c>
      <x:c r="B5" s="15" t="str">
        <x:v>Workspace</x:v>
      </x:c>
      <x:c r="C5" s="15" t="str">
        <x:v>Original timestamp</x:v>
      </x:c>
      <x:c r="D5" s="15" t="str">
        <x:v>UTC timestamp</x:v>
      </x:c>
      <x:c r="E5" s="15" t="str">
        <x:v>Status</x:v>
      </x:c>
      <x:c r="F5" s="15" t="str">
        <x:v>Billed cents</x:v>
      </x:c>
      <x:c r="G5" s="1"/>
      <x:c r="H5" s="15" t="str">
        <x:v>Attempt ID</x:v>
      </x:c>
      <x:c r="I5" s="15" t="str">
        <x:v>Job ID</x:v>
      </x:c>
      <x:c r="J5" s="15" t="str">
        <x:v>Cost cents</x:v>
      </x:c>
      <x:c r="K5" s="15" t="str">
        <x:v>Cost valid</x:v>
      </x:c>
      <x:c r="L5" s="15" t="str">
        <x:v>Unassigned</x:v>
      </x:c>
      <x:c r="M5" s="1"/>
      <x:c r="N5" s="15" t="str">
        <x:v>Workspace</x:v>
      </x:c>
      <x:c r="O5" s="15" t="str">
        <x:v>Plan</x:v>
      </x:c>
    </x:row>
    <x:row r="6" ht="21" customHeight="1">
      <x:c r="A6" s="6" t="str">
        <x:v>0001</x:v>
      </x:c>
      <x:c r="B6" s="5" t="str">
        <x:v>wsA</x:v>
      </x:c>
      <x:c r="C6" s="5" t="str">
        <x:v>raw: 2026-10-01T00:30:00+05:30</x:v>
      </x:c>
      <x:c r="D6" s="7" t="d">
        <x:v>2026-09-30T19:00:00.000Z</x:v>
      </x:c>
      <x:c r="E6" s="1" t="str">
        <x:v>completed</x:v>
      </x:c>
      <x:c r="F6" s="8" t="n">
        <x:v>100</x:v>
      </x:c>
      <x:c r="G6" s="1"/>
      <x:c r="H6" s="5" t="str">
        <x:v>a01</x:v>
      </x:c>
      <x:c r="I6" s="6" t="str">
        <x:v>0002</x:v>
      </x:c>
      <x:c r="J6" s="8" t="n">
        <x:v>30</x:v>
      </x:c>
      <x:c r="K6" s="8" t="n">
        <x:f>IF(AND(ISNUMBER(J6),J6&gt;=0),1,0)</x:f>
        <x:v>1</x:v>
      </x:c>
      <x:c r="L6" s="8" t="n">
        <x:f>IF(COUNTIFS($A$6:$A$14,I6)=0,1,0)</x:f>
        <x:v>0</x:v>
      </x:c>
      <x:c r="M6" s="1"/>
      <x:c r="N6" s="1" t="str">
        <x:v>wsA</x:v>
      </x:c>
      <x:c r="O6" s="1" t="str">
        <x:v>paid</x:v>
      </x:c>
    </x:row>
    <x:row r="7" ht="21" customHeight="1">
      <x:c r="A7" s="6" t="str">
        <x:v>0002</x:v>
      </x:c>
      <x:c r="B7" s="5" t="str">
        <x:v>wsA</x:v>
      </x:c>
      <x:c r="C7" s="5" t="str">
        <x:v>raw: 2026-10-01T00:30:00Z</x:v>
      </x:c>
      <x:c r="D7" s="7" t="d">
        <x:v>2026-10-01T00:30:00.000Z</x:v>
      </x:c>
      <x:c r="E7" s="1" t="str">
        <x:v>completed</x:v>
      </x:c>
      <x:c r="F7" s="8" t="n">
        <x:v>200</x:v>
      </x:c>
      <x:c r="G7" s="1"/>
      <x:c r="H7" s="5" t="str">
        <x:v>a02</x:v>
      </x:c>
      <x:c r="I7" s="6" t="str">
        <x:v>0002</x:v>
      </x:c>
      <x:c r="J7" s="8" t="n">
        <x:v>10</x:v>
      </x:c>
      <x:c r="K7" s="8" t="n">
        <x:f>IF(AND(ISNUMBER(J7),J7&gt;=0),1,0)</x:f>
        <x:v>1</x:v>
      </x:c>
      <x:c r="L7" s="8" t="n">
        <x:f>IF(COUNTIFS($A$6:$A$14,I7)=0,1,0)</x:f>
        <x:v>0</x:v>
      </x:c>
      <x:c r="M7" s="1"/>
      <x:c r="N7" s="1" t="str">
        <x:v>wsB</x:v>
      </x:c>
      <x:c r="O7" s="1" t="str">
        <x:v>free</x:v>
      </x:c>
    </x:row>
    <x:row r="8" ht="21" customHeight="1">
      <x:c r="A8" s="6" t="str">
        <x:v>0003</x:v>
      </x:c>
      <x:c r="B8" s="5" t="str">
        <x:v>wsB</x:v>
      </x:c>
      <x:c r="C8" s="5" t="str">
        <x:v>raw: 2026-10-15T12:00:00Z</x:v>
      </x:c>
      <x:c r="D8" s="7" t="d">
        <x:v>2026-10-15T12:00:00.000Z</x:v>
      </x:c>
      <x:c r="E8" s="1" t="str">
        <x:v>completed</x:v>
      </x:c>
      <x:c r="F8" s="8" t="n">
        <x:v>0</x:v>
      </x:c>
      <x:c r="G8" s="1"/>
      <x:c r="H8" s="5" t="str">
        <x:v>a03</x:v>
      </x:c>
      <x:c r="I8" s="6" t="str">
        <x:v>0003</x:v>
      </x:c>
      <x:c r="J8" s="8" t="n">
        <x:v>20</x:v>
      </x:c>
      <x:c r="K8" s="8" t="n">
        <x:f>IF(AND(ISNUMBER(J8),J8&gt;=0),1,0)</x:f>
        <x:v>1</x:v>
      </x:c>
      <x:c r="L8" s="8" t="n">
        <x:f>IF(COUNTIFS($A$6:$A$14,I8)=0,1,0)</x:f>
        <x:v>0</x:v>
      </x:c>
      <x:c r="M8" s="1"/>
      <x:c r="N8" s="1" t="str">
        <x:v>wsC</x:v>
      </x:c>
      <x:c r="O8" s="1" t="str">
        <x:v>paid</x:v>
      </x:c>
    </x:row>
    <x:row r="9" ht="21" customHeight="1">
      <x:c r="A9" s="6" t="str">
        <x:v>0004</x:v>
      </x:c>
      <x:c r="B9" s="5" t="str">
        <x:v>wsB</x:v>
      </x:c>
      <x:c r="C9" s="5" t="str">
        <x:v>raw: 2026-10-20T12:00:00Z</x:v>
      </x:c>
      <x:c r="D9" s="7" t="d">
        <x:v>2026-10-20T12:00:00.000Z</x:v>
      </x:c>
      <x:c r="E9" s="1" t="str">
        <x:v>failed</x:v>
      </x:c>
      <x:c r="F9" s="8"/>
      <x:c r="G9" s="1"/>
      <x:c r="H9" s="5" t="str">
        <x:v>a04</x:v>
      </x:c>
      <x:c r="I9" s="6" t="str">
        <x:v>0004</x:v>
      </x:c>
      <x:c r="J9" s="8" t="n">
        <x:v>15</x:v>
      </x:c>
      <x:c r="K9" s="8" t="n">
        <x:f>IF(AND(ISNUMBER(J9),J9&gt;=0),1,0)</x:f>
        <x:v>1</x:v>
      </x:c>
      <x:c r="L9" s="8" t="n">
        <x:f>IF(COUNTIFS($A$6:$A$14,I9)=0,1,0)</x:f>
        <x:v>0</x:v>
      </x:c>
      <x:c r="M9" s="1"/>
      <x:c r="N9" s="1"/>
      <x:c r="O9" s="1"/>
    </x:row>
    <x:row r="10" ht="21" customHeight="1">
      <x:c r="A10" s="6" t="str">
        <x:v>0005</x:v>
      </x:c>
      <x:c r="B10" s="5" t="str">
        <x:v>wsC</x:v>
      </x:c>
      <x:c r="C10" s="5" t="str">
        <x:v>raw: 2026-10-31T23:30:00Z</x:v>
      </x:c>
      <x:c r="D10" s="7" t="d">
        <x:v>2026-10-31T23:30:00.000Z</x:v>
      </x:c>
      <x:c r="E10" s="1" t="str">
        <x:v>completed</x:v>
      </x:c>
      <x:c r="F10" s="8"/>
      <x:c r="G10" s="1"/>
      <x:c r="H10" s="5" t="str">
        <x:v>a05</x:v>
      </x:c>
      <x:c r="I10" s="6" t="str">
        <x:v>0005</x:v>
      </x:c>
      <x:c r="J10" s="8" t="n">
        <x:v>25</x:v>
      </x:c>
      <x:c r="K10" s="8" t="n">
        <x:f>IF(AND(ISNUMBER(J10),J10&gt;=0),1,0)</x:f>
        <x:v>1</x:v>
      </x:c>
      <x:c r="L10" s="8" t="n">
        <x:f>IF(COUNTIFS($A$6:$A$14,I10)=0,1,0)</x:f>
        <x:v>0</x:v>
      </x:c>
      <x:c r="M10" s="1"/>
      <x:c r="N10" s="1"/>
      <x:c r="O10" s="1"/>
    </x:row>
    <x:row r="11" ht="21" customHeight="1">
      <x:c r="A11" s="6" t="str">
        <x:v>0006</x:v>
      </x:c>
      <x:c r="B11" s="5" t="str">
        <x:v>wsA</x:v>
      </x:c>
      <x:c r="C11" s="5" t="str">
        <x:v>raw: 2026-11-01T00:00:00Z</x:v>
      </x:c>
      <x:c r="D11" s="7" t="d">
        <x:v>2026-11-01T00:00:00.000Z</x:v>
      </x:c>
      <x:c r="E11" s="1" t="str">
        <x:v>completed</x:v>
      </x:c>
      <x:c r="F11" s="8" t="n">
        <x:v>400</x:v>
      </x:c>
      <x:c r="G11" s="1"/>
      <x:c r="H11" s="5" t="str">
        <x:v>a06</x:v>
      </x:c>
      <x:c r="I11" s="6" t="str">
        <x:v>0009</x:v>
      </x:c>
      <x:c r="J11" s="8" t="n">
        <x:v>10</x:v>
      </x:c>
      <x:c r="K11" s="8" t="n">
        <x:f>IF(AND(ISNUMBER(J11),J11&gt;=0),1,0)</x:f>
        <x:v>1</x:v>
      </x:c>
      <x:c r="L11" s="8" t="n">
        <x:f>IF(COUNTIFS($A$6:$A$14,I11)=0,1,0)</x:f>
        <x:v>0</x:v>
      </x:c>
      <x:c r="M11" s="1"/>
      <x:c r="N11" s="1"/>
      <x:c r="O11" s="1"/>
    </x:row>
    <x:row r="12" ht="21" customHeight="1">
      <x:c r="A12" s="6" t="str">
        <x:v>0007</x:v>
      </x:c>
      <x:c r="B12" s="5" t="str">
        <x:v>wsA</x:v>
      </x:c>
      <x:c r="C12" s="5" t="str"/>
      <x:c r="D12" s="7"/>
      <x:c r="E12" s="1" t="str">
        <x:v>completed</x:v>
      </x:c>
      <x:c r="F12" s="8" t="n">
        <x:v>50</x:v>
      </x:c>
      <x:c r="G12" s="1"/>
      <x:c r="H12" s="5" t="str">
        <x:v>a07</x:v>
      </x:c>
      <x:c r="I12" s="6" t="str">
        <x:v>0001</x:v>
      </x:c>
      <x:c r="J12" s="8" t="n">
        <x:v>10</x:v>
      </x:c>
      <x:c r="K12" s="8" t="n">
        <x:f>IF(AND(ISNUMBER(J12),J12&gt;=0),1,0)</x:f>
        <x:v>1</x:v>
      </x:c>
      <x:c r="L12" s="8" t="n">
        <x:f>IF(COUNTIFS($A$6:$A$14,I12)=0,1,0)</x:f>
        <x:v>0</x:v>
      </x:c>
      <x:c r="M12" s="1"/>
      <x:c r="N12" s="1"/>
      <x:c r="O12" s="1"/>
    </x:row>
    <x:row r="13" ht="21" customHeight="1">
      <x:c r="A13" s="6" t="str">
        <x:v>0008</x:v>
      </x:c>
      <x:c r="B13" s="5" t="str">
        <x:v>wsA</x:v>
      </x:c>
      <x:c r="C13" s="5" t="str">
        <x:v>raw: not-a-date</x:v>
      </x:c>
      <x:c r="D13" s="7"/>
      <x:c r="E13" s="1" t="str">
        <x:v>completed</x:v>
      </x:c>
      <x:c r="F13" s="8" t="n">
        <x:v>80</x:v>
      </x:c>
      <x:c r="G13" s="1"/>
      <x:c r="H13" s="5" t="str">
        <x:v>a08</x:v>
      </x:c>
      <x:c r="I13" s="6" t="str">
        <x:v>0006</x:v>
      </x:c>
      <x:c r="J13" s="8" t="n">
        <x:v>50</x:v>
      </x:c>
      <x:c r="K13" s="8" t="n">
        <x:f>IF(AND(ISNUMBER(J13),J13&gt;=0),1,0)</x:f>
        <x:v>1</x:v>
      </x:c>
      <x:c r="L13" s="8" t="n">
        <x:f>IF(COUNTIFS($A$6:$A$14,I13)=0,1,0)</x:f>
        <x:v>0</x:v>
      </x:c>
      <x:c r="M13" s="1"/>
      <x:c r="N13" s="1"/>
      <x:c r="O13" s="1"/>
    </x:row>
    <x:row r="14" ht="21" customHeight="1">
      <x:c r="A14" s="6" t="str">
        <x:v>0009</x:v>
      </x:c>
      <x:c r="B14" s="5" t="str">
        <x:v>wsUnknown</x:v>
      </x:c>
      <x:c r="C14" s="5" t="str">
        <x:v>raw: 2026-10-10T00:00:00Z</x:v>
      </x:c>
      <x:c r="D14" s="7" t="d">
        <x:v>2026-10-10T00:00:00.000Z</x:v>
      </x:c>
      <x:c r="E14" s="1" t="str">
        <x:v>completed</x:v>
      </x:c>
      <x:c r="F14" s="8" t="n">
        <x:v>90</x:v>
      </x:c>
      <x:c r="G14" s="1"/>
      <x:c r="H14" s="5" t="str">
        <x:v>a09</x:v>
      </x:c>
      <x:c r="I14" s="6" t="str">
        <x:v>0999</x:v>
      </x:c>
      <x:c r="J14" s="8" t="n">
        <x:v>7</x:v>
      </x:c>
      <x:c r="K14" s="8" t="n">
        <x:f>IF(AND(ISNUMBER(J14),J14&gt;=0),1,0)</x:f>
        <x:v>1</x:v>
      </x:c>
      <x:c r="L14" s="8" t="n">
        <x:f>IF(COUNTIFS($A$6:$A$14,I14)=0,1,0)</x:f>
        <x:v>1</x:v>
      </x:c>
      <x:c r="M14" s="1"/>
      <x:c r="N14" s="1"/>
      <x:c r="O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</x:sheetData>
  <x:pageMargins left="0.7" right="0.7" top="0.75" bottom="0.75" header="0.3" footer="0.3"/>
  <x:tableParts count="3">
    <x:tablePart xmlns:r="http://schemas.openxmlformats.org/officeDocument/2006/relationships" r:id="R65e8ad8a2b1d4d5b"/>
    <x:tablePart xmlns:r="http://schemas.openxmlformats.org/officeDocument/2006/relationships" r:id="Rccdf36994346411b"/>
    <x:tablePart xmlns:r="http://schemas.openxmlformats.org/officeDocument/2006/relationships" r:id="R47d4277338364f4e"/>
  </x:tableParts>
</x:worksheet>
</file>